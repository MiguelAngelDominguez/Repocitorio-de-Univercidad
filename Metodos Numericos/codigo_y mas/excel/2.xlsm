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vercidad\Ciclo 5\Metodos Numericos\codigo_y mas\excel\"/>
    </mc:Choice>
  </mc:AlternateContent>
  <xr:revisionPtr revIDLastSave="0" documentId="13_ncr:1_{E4AB126C-5665-48A2-991D-731C559B5301}" xr6:coauthVersionLast="47" xr6:coauthVersionMax="47" xr10:uidLastSave="{00000000-0000-0000-0000-000000000000}"/>
  <bookViews>
    <workbookView xWindow="-120" yWindow="-120" windowWidth="29040" windowHeight="15720" xr2:uid="{5A826D54-404F-4522-BC13-5FDD9FC7D903}"/>
  </bookViews>
  <sheets>
    <sheet name="Sin macros" sheetId="1" r:id="rId1"/>
    <sheet name="Hoja3" sheetId="4" state="hidden" r:id="rId2"/>
    <sheet name="Gráfico1" sheetId="5" state="hidden" r:id="rId3"/>
    <sheet name="Con macros" sheetId="2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6" i="2" l="1"/>
  <c r="C27" i="2"/>
  <c r="C22" i="2"/>
  <c r="C23" i="2"/>
  <c r="C24" i="2"/>
  <c r="C25" i="2"/>
  <c r="C21" i="2"/>
  <c r="C10" i="2"/>
  <c r="C11" i="2"/>
  <c r="C12" i="2"/>
  <c r="C13" i="2"/>
  <c r="C14" i="2"/>
  <c r="C15" i="2"/>
  <c r="C16" i="2"/>
  <c r="C17" i="2"/>
  <c r="C18" i="2"/>
  <c r="C19" i="2"/>
  <c r="C20" i="2"/>
  <c r="C9" i="2"/>
  <c r="C8" i="2"/>
  <c r="C11" i="1"/>
  <c r="C5" i="1"/>
  <c r="C9" i="1"/>
  <c r="C10" i="1" s="1"/>
  <c r="C8" i="1"/>
  <c r="C7" i="1"/>
  <c r="B9" i="2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C12" i="1" l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</calcChain>
</file>

<file path=xl/sharedStrings.xml><?xml version="1.0" encoding="utf-8"?>
<sst xmlns="http://schemas.openxmlformats.org/spreadsheetml/2006/main" count="12" uniqueCount="12">
  <si>
    <t>GRABEDAD</t>
  </si>
  <si>
    <t>MASA</t>
  </si>
  <si>
    <t xml:space="preserve">RESISTENCIA </t>
  </si>
  <si>
    <t>EPÍSILON</t>
  </si>
  <si>
    <t>Velocidad inicial</t>
  </si>
  <si>
    <t>m</t>
  </si>
  <si>
    <t>cd</t>
  </si>
  <si>
    <t>dt</t>
  </si>
  <si>
    <t>t</t>
  </si>
  <si>
    <t>vnum(m/s)</t>
  </si>
  <si>
    <t>vanal(m/s)</t>
  </si>
  <si>
    <t>CODIGO DE LA FUNCION EULER CON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</si>
</sst>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">
    <xf numFmtId="0" fontId="0" fillId="0" borderId="0" xfId="0"/>
    <xf numFmtId="43" fontId="0" fillId="0" borderId="0" xfId="1" applyFont="1"/>
    <xf numFmtId="43" fontId="0" fillId="0" borderId="1" xfId="1" applyFont="1" applyBorder="1"/>
    <xf numFmtId="43" fontId="0" fillId="0" borderId="2" xfId="1" applyFont="1" applyBorder="1"/>
    <xf numFmtId="43" fontId="0" fillId="0" borderId="0" xfId="1" applyNumberFormat="1" applyFont="1"/>
    <xf numFmtId="43" fontId="0" fillId="0" borderId="1" xfId="1" applyNumberFormat="1" applyFont="1" applyBorder="1"/>
    <xf numFmtId="43" fontId="0" fillId="0" borderId="2" xfId="1" applyNumberFormat="1" applyFont="1" applyBorder="1"/>
    <xf numFmtId="43" fontId="0" fillId="0" borderId="3" xfId="1" applyFont="1" applyBorder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'Sin macros'!$B$7:$B$31</c:f>
              <c:numCache>
                <c:formatCode>_(* #,##0.00_);_(* \(#,##0.00\);_(* "-"??_);_(@_)</c:formatCode>
                <c:ptCount val="2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</c:numCache>
            </c:numRef>
          </c:xVal>
          <c:yVal>
            <c:numRef>
              <c:f>'Sin macros'!$C$7:$C$31</c:f>
              <c:numCache>
                <c:formatCode>_(* #,##0.00_);_(* \(#,##0.00\);_(* "-"??_);_(@_)</c:formatCode>
                <c:ptCount val="25"/>
                <c:pt idx="0">
                  <c:v>0</c:v>
                </c:pt>
                <c:pt idx="1">
                  <c:v>4.9000000000000004</c:v>
                </c:pt>
                <c:pt idx="2">
                  <c:v>9.3502936857562418</c:v>
                </c:pt>
                <c:pt idx="3">
                  <c:v>13.392153663201521</c:v>
                </c:pt>
                <c:pt idx="4">
                  <c:v>17.063064670616946</c:v>
                </c:pt>
                <c:pt idx="5">
                  <c:v>20.397071216999386</c:v>
                </c:pt>
                <c:pt idx="6">
                  <c:v>23.425093315292393</c:v>
                </c:pt>
                <c:pt idx="7">
                  <c:v>26.175213238631933</c:v>
                </c:pt>
                <c:pt idx="8">
                  <c:v>28.672935959021807</c:v>
                </c:pt>
                <c:pt idx="9">
                  <c:v>30.941425683781187</c:v>
                </c:pt>
                <c:pt idx="10">
                  <c:v>33.001720683434165</c:v>
                </c:pt>
                <c:pt idx="11">
                  <c:v>34.872928403383305</c:v>
                </c:pt>
                <c:pt idx="12">
                  <c:v>36.572402668858409</c:v>
                </c:pt>
                <c:pt idx="13">
                  <c:v>38.115904626562298</c:v>
                </c:pt>
                <c:pt idx="14">
                  <c:v>39.517748915607605</c:v>
                </c:pt>
                <c:pt idx="15">
                  <c:v>40.790936423352868</c:v>
                </c:pt>
                <c:pt idx="16">
                  <c:v>41.947274857332964</c:v>
                </c:pt>
                <c:pt idx="17">
                  <c:v>42.997488251483759</c:v>
                </c:pt>
                <c:pt idx="18">
                  <c:v>43.951316422235983</c:v>
                </c:pt>
                <c:pt idx="19">
                  <c:v>44.817605296847219</c:v>
                </c:pt>
                <c:pt idx="20">
                  <c:v>45.604388951688698</c:v>
                </c:pt>
                <c:pt idx="21">
                  <c:v>46.318964121320789</c:v>
                </c:pt>
                <c:pt idx="22">
                  <c:v>46.967957869364035</c:v>
                </c:pt>
                <c:pt idx="23">
                  <c:v>47.557389048754267</c:v>
                </c:pt>
                <c:pt idx="24">
                  <c:v>48.092724121372271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BA-401B-9FC4-C2A0BA04B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900992"/>
        <c:axId val="377899744"/>
      </c:scatterChart>
      <c:valAx>
        <c:axId val="37790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77899744"/>
        <c:crosses val="autoZero"/>
        <c:crossBetween val="midCat"/>
      </c:valAx>
      <c:valAx>
        <c:axId val="37789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7790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93471"/>
        <c:axId val="43794719"/>
      </c:barChart>
      <c:catAx>
        <c:axId val="43793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3794719"/>
        <c:crosses val="autoZero"/>
        <c:auto val="1"/>
        <c:lblAlgn val="ctr"/>
        <c:lblOffset val="100"/>
        <c:noMultiLvlLbl val="0"/>
      </c:catAx>
      <c:valAx>
        <c:axId val="4379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3793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0.11168631525240469"/>
          <c:y val="6.5689075813243097E-2"/>
          <c:w val="0.84477969747478554"/>
          <c:h val="0.797302407457576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'Con macros'!$B$7</c:f>
              <c:strCache>
                <c:ptCount val="1"/>
                <c:pt idx="0">
                  <c:v>vnum(m/s)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 macros'!$A$8:$A$27</c:f>
              <c:numCache>
                <c:formatCode>General</c:formatCode>
                <c:ptCount val="2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27</c:v>
                </c:pt>
                <c:pt idx="15">
                  <c:v>28</c:v>
                </c:pt>
                <c:pt idx="16">
                  <c:v>29</c:v>
                </c:pt>
                <c:pt idx="17">
                  <c:v>30</c:v>
                </c:pt>
                <c:pt idx="18">
                  <c:v>31</c:v>
                </c:pt>
                <c:pt idx="19">
                  <c:v>32</c:v>
                </c:pt>
              </c:numCache>
            </c:numRef>
          </c:xVal>
          <c:yVal>
            <c:numRef>
              <c:f>'Con macros'!$B$8:$B$27</c:f>
              <c:numCache>
                <c:formatCode>General</c:formatCode>
                <c:ptCount val="20"/>
                <c:pt idx="0" formatCode="0.000">
                  <c:v>0</c:v>
                </c:pt>
                <c:pt idx="1">
                  <c:v>16.530920028686523</c:v>
                </c:pt>
                <c:pt idx="2">
                  <c:v>27.943492889404297</c:v>
                </c:pt>
                <c:pt idx="3">
                  <c:v>35.822460174560547</c:v>
                </c:pt>
                <c:pt idx="4">
                  <c:v>41.261909484863281</c:v>
                </c:pt>
                <c:pt idx="5">
                  <c:v>45.017158508300781</c:v>
                </c:pt>
                <c:pt idx="6">
                  <c:v>47.609699249267578</c:v>
                </c:pt>
                <c:pt idx="7">
                  <c:v>49.399539947509766</c:v>
                </c:pt>
                <c:pt idx="8">
                  <c:v>50.635204315185547</c:v>
                </c:pt>
                <c:pt idx="9">
                  <c:v>51.488277435302734</c:v>
                </c:pt>
                <c:pt idx="10">
                  <c:v>52.077228546142578</c:v>
                </c:pt>
                <c:pt idx="11">
                  <c:v>52.483818054199219</c:v>
                </c:pt>
                <c:pt idx="12">
                  <c:v>52.764518737792969</c:v>
                </c:pt>
                <c:pt idx="13">
                  <c:v>52.958305358886719</c:v>
                </c:pt>
                <c:pt idx="14">
                  <c:v>53.031379699707031</c:v>
                </c:pt>
                <c:pt idx="15">
                  <c:v>53.092098236083984</c:v>
                </c:pt>
                <c:pt idx="16">
                  <c:v>53.142543792724609</c:v>
                </c:pt>
                <c:pt idx="17">
                  <c:v>53.184455871582031</c:v>
                </c:pt>
                <c:pt idx="18">
                  <c:v>53.219280242919922</c:v>
                </c:pt>
                <c:pt idx="19">
                  <c:v>53.248218536376953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73-4D8C-9D71-04784961F3C4}"/>
            </c:ext>
          </c:extLst>
        </c:ser>
        <c:ser>
          <c:idx val="1"/>
          <c:order val="1"/>
          <c:tx>
            <c:strRef>
              <c:f>'Con macros'!$C$7</c:f>
              <c:strCache>
                <c:ptCount val="1"/>
                <c:pt idx="0">
                  <c:v>vanal(m/s)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 macros'!$A$8:$A$27</c:f>
              <c:numCache>
                <c:formatCode>General</c:formatCode>
                <c:ptCount val="2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27</c:v>
                </c:pt>
                <c:pt idx="15">
                  <c:v>28</c:v>
                </c:pt>
                <c:pt idx="16">
                  <c:v>29</c:v>
                </c:pt>
                <c:pt idx="17">
                  <c:v>30</c:v>
                </c:pt>
                <c:pt idx="18">
                  <c:v>31</c:v>
                </c:pt>
                <c:pt idx="19">
                  <c:v>32</c:v>
                </c:pt>
              </c:numCache>
            </c:numRef>
          </c:xVal>
          <c:yVal>
            <c:numRef>
              <c:f>'Con macros'!$C$8:$C$27</c:f>
              <c:numCache>
                <c:formatCode>General</c:formatCode>
                <c:ptCount val="20"/>
                <c:pt idx="0">
                  <c:v>0</c:v>
                </c:pt>
                <c:pt idx="1">
                  <c:v>16.404980802870615</c:v>
                </c:pt>
                <c:pt idx="2">
                  <c:v>27.769291463870154</c:v>
                </c:pt>
                <c:pt idx="3">
                  <c:v>35.641751563129091</c:v>
                </c:pt>
                <c:pt idx="4">
                  <c:v>41.095283225820637</c:v>
                </c:pt>
                <c:pt idx="5">
                  <c:v>44.873137571348394</c:v>
                </c:pt>
                <c:pt idx="6">
                  <c:v>47.490190948641704</c:v>
                </c:pt>
                <c:pt idx="7">
                  <c:v>49.303116422518208</c:v>
                </c:pt>
                <c:pt idx="8">
                  <c:v>50.558994045170913</c:v>
                </c:pt>
                <c:pt idx="9">
                  <c:v>51.428984911208715</c:v>
                </c:pt>
                <c:pt idx="10">
                  <c:v>52.031658367074975</c:v>
                </c:pt>
                <c:pt idx="11">
                  <c:v>52.449151594400412</c:v>
                </c:pt>
                <c:pt idx="12">
                  <c:v>52.738363925167626</c:v>
                </c:pt>
                <c:pt idx="13">
                  <c:v>52.938711539914927</c:v>
                </c:pt>
                <c:pt idx="14">
                  <c:v>53.014456413231997</c:v>
                </c:pt>
                <c:pt idx="15">
                  <c:v>53.077499421567317</c:v>
                </c:pt>
                <c:pt idx="16">
                  <c:v>53.129970575401444</c:v>
                </c:pt>
                <c:pt idx="17">
                  <c:v>53.17364269793152</c:v>
                </c:pt>
                <c:pt idx="18">
                  <c:v>53.209991322783779</c:v>
                </c:pt>
                <c:pt idx="19">
                  <c:v>53.240244547314845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3-4D8C-9D71-04784961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262607"/>
        <c:axId val="887265103"/>
      </c:scatterChart>
      <c:valAx>
        <c:axId val="887262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87265103"/>
        <c:crosses val="autoZero"/>
        <c:crossBetween val="midCat"/>
      </c:valAx>
      <c:valAx>
        <c:axId val="88726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872626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D2DA118-609B-4C02-AB01-ED2829A245D0}">
  <sheetPr codeName="Gráfico4"/>
  <sheetViews>
    <sheetView zoomScale="11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298417</xdr:colOff>
      <xdr:row>0</xdr:row>
      <xdr:rowOff>189388</xdr:rowOff>
    </xdr:from>
    <xdr:ext cx="6188108" cy="7377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C1C106EC-4213-489E-AEF6-11BB2B0DDE10}"/>
                </a:ext>
              </a:extLst>
            </xdr:cNvPr>
            <xdr:cNvSpPr txBox="1"/>
          </xdr:nvSpPr>
          <xdr:spPr>
            <a:xfrm>
              <a:off x="3994117" y="189388"/>
              <a:ext cx="6188108" cy="7377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2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28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ES" sz="28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ES" sz="2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2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es-ES" sz="28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s-ES" sz="2800" b="0" i="1">
                            <a:latin typeface="Cambria Math" panose="02040503050406030204" pitchFamily="18" charset="0"/>
                          </a:rPr>
                          <m:t>+1)</m:t>
                        </m:r>
                      </m:sub>
                    </m:sSub>
                    <m:r>
                      <a:rPr lang="es-ES" sz="2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2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28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sSub>
                          <m:sSubPr>
                            <m:ctrlPr>
                              <a:rPr lang="es-ES" sz="2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2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es-ES" sz="28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sub>
                    </m:sSub>
                    <m:r>
                      <a:rPr lang="es-ES" sz="2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2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ES" sz="2800" b="0" i="1">
                            <a:latin typeface="Cambria Math" panose="02040503050406030204" pitchFamily="18" charset="0"/>
                          </a:rPr>
                          <m:t>𝑔</m:t>
                        </m:r>
                        <m:r>
                          <a:rPr lang="es-ES" sz="2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2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28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num>
                          <m:den>
                            <m:r>
                              <a:rPr lang="es-ES" sz="28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den>
                        </m:f>
                        <m:r>
                          <a:rPr lang="es-ES" sz="28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s-ES" sz="2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28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ES" sz="28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s-ES" sz="2800" b="0" i="1">
                        <a:latin typeface="Cambria Math" panose="02040503050406030204" pitchFamily="18" charset="0"/>
                      </a:rPr>
                      <m:t>∗(</m:t>
                    </m:r>
                    <m:sSub>
                      <m:sSubPr>
                        <m:ctrlPr>
                          <a:rPr lang="es-ES" sz="2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28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ES" sz="28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s-ES" sz="28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s-ES" sz="28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ES" sz="2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28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ES" sz="28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2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s-PE" sz="28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C1C106EC-4213-489E-AEF6-11BB2B0DDE10}"/>
                </a:ext>
              </a:extLst>
            </xdr:cNvPr>
            <xdr:cNvSpPr txBox="1"/>
          </xdr:nvSpPr>
          <xdr:spPr>
            <a:xfrm>
              <a:off x="3994117" y="189388"/>
              <a:ext cx="6188108" cy="7377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2800" b="0" i="0">
                  <a:latin typeface="Cambria Math" panose="02040503050406030204" pitchFamily="18" charset="0"/>
                </a:rPr>
                <a:t>𝑣_((𝑡_𝑖+1))=𝑣_(𝑡_𝑖 )+[𝑔−𝑐/𝑚∗𝑣_𝑖 ]∗(𝑡_(𝑖+1)−𝑡_𝑖)</a:t>
              </a:r>
              <a:endParaRPr lang="es-PE" sz="2800"/>
            </a:p>
          </xdr:txBody>
        </xdr:sp>
      </mc:Fallback>
    </mc:AlternateContent>
    <xdr:clientData/>
  </xdr:oneCellAnchor>
  <xdr:twoCellAnchor>
    <xdr:from>
      <xdr:col>3</xdr:col>
      <xdr:colOff>590550</xdr:colOff>
      <xdr:row>5</xdr:row>
      <xdr:rowOff>190499</xdr:rowOff>
    </xdr:from>
    <xdr:to>
      <xdr:col>12</xdr:col>
      <xdr:colOff>628650</xdr:colOff>
      <xdr:row>29</xdr:row>
      <xdr:rowOff>152399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6691787-85E7-4791-88AD-8FF057F0DC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74E6C1-436D-4656-8B13-C21C7B5DFA9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407789</xdr:colOff>
      <xdr:row>4</xdr:row>
      <xdr:rowOff>77391</xdr:rowOff>
    </xdr:from>
    <xdr:to>
      <xdr:col>8</xdr:col>
      <xdr:colOff>577453</xdr:colOff>
      <xdr:row>26</xdr:row>
      <xdr:rowOff>157162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7E2C123-786F-4795-B5F1-99407611A3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26275</xdr:colOff>
      <xdr:row>4</xdr:row>
      <xdr:rowOff>78827</xdr:rowOff>
    </xdr:from>
    <xdr:to>
      <xdr:col>15</xdr:col>
      <xdr:colOff>490227</xdr:colOff>
      <xdr:row>20</xdr:row>
      <xdr:rowOff>165916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C97EEF2-E747-4E33-97F6-72CFB737E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95896" y="840827"/>
          <a:ext cx="5338124" cy="31350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102BA-453D-4789-9BF2-6083B16FCF1E}">
  <sheetPr codeName="Hoja1"/>
  <dimension ref="A1:F31"/>
  <sheetViews>
    <sheetView tabSelected="1" zoomScaleNormal="100" workbookViewId="0">
      <selection activeCell="B33" sqref="B33"/>
    </sheetView>
  </sheetViews>
  <sheetFormatPr baseColWidth="10" defaultRowHeight="15" x14ac:dyDescent="0.25"/>
  <cols>
    <col min="1" max="1" width="19.7109375" customWidth="1"/>
    <col min="2" max="2" width="12.85546875" style="1" customWidth="1"/>
    <col min="3" max="3" width="11.42578125" style="4" customWidth="1"/>
  </cols>
  <sheetData>
    <row r="1" spans="1:6" ht="17.25" customHeight="1" x14ac:dyDescent="0.25"/>
    <row r="2" spans="1:6" ht="17.25" customHeight="1" x14ac:dyDescent="0.25">
      <c r="A2" t="s">
        <v>0</v>
      </c>
      <c r="B2" s="1">
        <v>9.8000000000000007</v>
      </c>
      <c r="D2" s="9"/>
      <c r="E2" s="9"/>
      <c r="F2" s="9"/>
    </row>
    <row r="3" spans="1:6" ht="17.25" customHeight="1" x14ac:dyDescent="0.25">
      <c r="A3" t="s">
        <v>1</v>
      </c>
      <c r="B3" s="1">
        <v>68.099999999999994</v>
      </c>
      <c r="D3" s="9"/>
      <c r="E3" s="9"/>
      <c r="F3" s="9"/>
    </row>
    <row r="4" spans="1:6" ht="17.25" customHeight="1" x14ac:dyDescent="0.25">
      <c r="A4" t="s">
        <v>2</v>
      </c>
      <c r="B4" s="1">
        <v>12.5</v>
      </c>
      <c r="D4" s="9"/>
      <c r="E4" s="9"/>
      <c r="F4" s="9"/>
    </row>
    <row r="5" spans="1:6" ht="17.25" customHeight="1" x14ac:dyDescent="0.25">
      <c r="A5" t="s">
        <v>3</v>
      </c>
      <c r="B5" s="1">
        <v>2.7181999999999999</v>
      </c>
      <c r="C5" s="1">
        <f>+EXP(1)</f>
        <v>2.7182818284590451</v>
      </c>
    </row>
    <row r="6" spans="1:6" ht="17.25" customHeight="1" x14ac:dyDescent="0.25">
      <c r="A6" t="s">
        <v>4</v>
      </c>
      <c r="B6" s="1">
        <v>0</v>
      </c>
      <c r="C6" s="4">
        <v>0</v>
      </c>
    </row>
    <row r="7" spans="1:6" ht="17.25" customHeight="1" x14ac:dyDescent="0.25">
      <c r="B7" s="2">
        <v>0</v>
      </c>
      <c r="C7" s="5">
        <f>C6+($B$2-($B$4/$B$3)*C6)*(B7-B6)</f>
        <v>0</v>
      </c>
    </row>
    <row r="8" spans="1:6" ht="17.25" customHeight="1" x14ac:dyDescent="0.25">
      <c r="B8" s="3">
        <v>0.5</v>
      </c>
      <c r="C8" s="6">
        <f t="shared" ref="C8:C31" si="0">C7+($B$2-($B$4/$B$3)*C7)*(B8-B7)</f>
        <v>4.9000000000000004</v>
      </c>
    </row>
    <row r="9" spans="1:6" ht="17.25" customHeight="1" x14ac:dyDescent="0.25">
      <c r="B9" s="3">
        <v>1</v>
      </c>
      <c r="C9" s="6">
        <f t="shared" si="0"/>
        <v>9.3502936857562418</v>
      </c>
    </row>
    <row r="10" spans="1:6" ht="17.25" customHeight="1" x14ac:dyDescent="0.25">
      <c r="B10" s="3">
        <v>1.5</v>
      </c>
      <c r="C10" s="6">
        <f t="shared" si="0"/>
        <v>13.392153663201521</v>
      </c>
    </row>
    <row r="11" spans="1:6" ht="17.25" customHeight="1" x14ac:dyDescent="0.25">
      <c r="B11" s="3">
        <v>2</v>
      </c>
      <c r="C11" s="6">
        <f t="shared" si="0"/>
        <v>17.063064670616946</v>
      </c>
    </row>
    <row r="12" spans="1:6" ht="17.25" customHeight="1" x14ac:dyDescent="0.25">
      <c r="B12" s="3">
        <v>2.5</v>
      </c>
      <c r="C12" s="6">
        <f t="shared" si="0"/>
        <v>20.397071216999386</v>
      </c>
    </row>
    <row r="13" spans="1:6" ht="17.25" customHeight="1" x14ac:dyDescent="0.25">
      <c r="B13" s="3">
        <v>3</v>
      </c>
      <c r="C13" s="6">
        <f t="shared" si="0"/>
        <v>23.425093315292393</v>
      </c>
    </row>
    <row r="14" spans="1:6" ht="17.25" customHeight="1" x14ac:dyDescent="0.25">
      <c r="B14" s="3">
        <v>3.5</v>
      </c>
      <c r="C14" s="6">
        <f t="shared" si="0"/>
        <v>26.175213238631933</v>
      </c>
    </row>
    <row r="15" spans="1:6" ht="17.25" customHeight="1" x14ac:dyDescent="0.25">
      <c r="B15" s="3">
        <v>4</v>
      </c>
      <c r="C15" s="6">
        <f t="shared" si="0"/>
        <v>28.672935959021807</v>
      </c>
    </row>
    <row r="16" spans="1:6" ht="17.25" customHeight="1" x14ac:dyDescent="0.25">
      <c r="B16" s="3">
        <v>4.5</v>
      </c>
      <c r="C16" s="6">
        <f t="shared" si="0"/>
        <v>30.941425683781187</v>
      </c>
    </row>
    <row r="17" spans="2:3" ht="17.25" customHeight="1" x14ac:dyDescent="0.25">
      <c r="B17" s="3">
        <v>5</v>
      </c>
      <c r="C17" s="6">
        <f t="shared" si="0"/>
        <v>33.001720683434165</v>
      </c>
    </row>
    <row r="18" spans="2:3" ht="17.25" customHeight="1" x14ac:dyDescent="0.25">
      <c r="B18" s="3">
        <v>5.5</v>
      </c>
      <c r="C18" s="6">
        <f t="shared" si="0"/>
        <v>34.872928403383305</v>
      </c>
    </row>
    <row r="19" spans="2:3" ht="17.25" customHeight="1" x14ac:dyDescent="0.25">
      <c r="B19" s="3">
        <v>6</v>
      </c>
      <c r="C19" s="6">
        <f t="shared" si="0"/>
        <v>36.572402668858409</v>
      </c>
    </row>
    <row r="20" spans="2:3" ht="17.25" customHeight="1" x14ac:dyDescent="0.25">
      <c r="B20" s="3">
        <v>6.5</v>
      </c>
      <c r="C20" s="6">
        <f t="shared" si="0"/>
        <v>38.115904626562298</v>
      </c>
    </row>
    <row r="21" spans="2:3" ht="17.25" customHeight="1" x14ac:dyDescent="0.25">
      <c r="B21" s="3">
        <v>7</v>
      </c>
      <c r="C21" s="6">
        <f t="shared" si="0"/>
        <v>39.517748915607605</v>
      </c>
    </row>
    <row r="22" spans="2:3" ht="17.25" customHeight="1" x14ac:dyDescent="0.25">
      <c r="B22" s="3">
        <v>7.5</v>
      </c>
      <c r="C22" s="6">
        <f t="shared" si="0"/>
        <v>40.790936423352868</v>
      </c>
    </row>
    <row r="23" spans="2:3" x14ac:dyDescent="0.25">
      <c r="B23" s="3">
        <v>8</v>
      </c>
      <c r="C23" s="6">
        <f t="shared" si="0"/>
        <v>41.947274857332964</v>
      </c>
    </row>
    <row r="24" spans="2:3" x14ac:dyDescent="0.25">
      <c r="B24" s="3">
        <v>8.5</v>
      </c>
      <c r="C24" s="6">
        <f t="shared" si="0"/>
        <v>42.997488251483759</v>
      </c>
    </row>
    <row r="25" spans="2:3" x14ac:dyDescent="0.25">
      <c r="B25" s="3">
        <v>9</v>
      </c>
      <c r="C25" s="6">
        <f t="shared" si="0"/>
        <v>43.951316422235983</v>
      </c>
    </row>
    <row r="26" spans="2:3" x14ac:dyDescent="0.25">
      <c r="B26" s="3">
        <v>9.5</v>
      </c>
      <c r="C26" s="6">
        <f t="shared" si="0"/>
        <v>44.817605296847219</v>
      </c>
    </row>
    <row r="27" spans="2:3" x14ac:dyDescent="0.25">
      <c r="B27" s="3">
        <v>10</v>
      </c>
      <c r="C27" s="6">
        <f t="shared" si="0"/>
        <v>45.604388951688698</v>
      </c>
    </row>
    <row r="28" spans="2:3" x14ac:dyDescent="0.25">
      <c r="B28" s="3">
        <v>10.5</v>
      </c>
      <c r="C28" s="6">
        <f t="shared" si="0"/>
        <v>46.318964121320789</v>
      </c>
    </row>
    <row r="29" spans="2:3" x14ac:dyDescent="0.25">
      <c r="B29" s="3">
        <v>11</v>
      </c>
      <c r="C29" s="6">
        <f t="shared" si="0"/>
        <v>46.967957869364035</v>
      </c>
    </row>
    <row r="30" spans="2:3" x14ac:dyDescent="0.25">
      <c r="B30" s="3">
        <v>11.5</v>
      </c>
      <c r="C30" s="6">
        <f t="shared" si="0"/>
        <v>47.557389048754267</v>
      </c>
    </row>
    <row r="31" spans="2:3" x14ac:dyDescent="0.25">
      <c r="B31" s="7">
        <v>12</v>
      </c>
      <c r="C31" s="6">
        <f t="shared" si="0"/>
        <v>48.092724121372271</v>
      </c>
    </row>
  </sheetData>
  <mergeCells count="1">
    <mergeCell ref="D2:F4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99DF-79A0-4B35-9D08-40295E3C7D6B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7EF02-EA77-4DE1-8975-A20005C49E0E}">
  <sheetPr codeName="Hoja3"/>
  <dimension ref="A2:M32"/>
  <sheetViews>
    <sheetView zoomScale="145" zoomScaleNormal="145" workbookViewId="0">
      <selection activeCell="D19" sqref="D19"/>
    </sheetView>
  </sheetViews>
  <sheetFormatPr baseColWidth="10" defaultRowHeight="15" x14ac:dyDescent="0.25"/>
  <cols>
    <col min="2" max="2" width="17.7109375" customWidth="1"/>
    <col min="3" max="3" width="11.85546875" bestFit="1" customWidth="1"/>
    <col min="7" max="7" width="19.85546875" customWidth="1"/>
    <col min="13" max="13" width="16" customWidth="1"/>
  </cols>
  <sheetData>
    <row r="2" spans="1:13" x14ac:dyDescent="0.25">
      <c r="B2" s="10" t="s">
        <v>5</v>
      </c>
      <c r="C2" s="10">
        <v>68.099999999999994</v>
      </c>
    </row>
    <row r="3" spans="1:13" x14ac:dyDescent="0.25">
      <c r="B3" s="10" t="s">
        <v>6</v>
      </c>
      <c r="C3" s="10">
        <v>12.5</v>
      </c>
    </row>
    <row r="4" spans="1:13" x14ac:dyDescent="0.25">
      <c r="B4" s="12" t="s">
        <v>7</v>
      </c>
      <c r="C4" s="12">
        <v>0.1</v>
      </c>
      <c r="K4" s="9" t="s">
        <v>11</v>
      </c>
      <c r="L4" s="9"/>
      <c r="M4" s="9"/>
    </row>
    <row r="6" spans="1:13" x14ac:dyDescent="0.25">
      <c r="E6" s="9"/>
      <c r="F6" s="9"/>
      <c r="G6" s="9"/>
    </row>
    <row r="7" spans="1:13" x14ac:dyDescent="0.25">
      <c r="A7" s="10" t="s">
        <v>8</v>
      </c>
      <c r="B7" s="10" t="s">
        <v>9</v>
      </c>
      <c r="C7" s="10" t="s">
        <v>10</v>
      </c>
    </row>
    <row r="8" spans="1:13" x14ac:dyDescent="0.25">
      <c r="A8" s="10">
        <v>0</v>
      </c>
      <c r="B8" s="11">
        <v>0</v>
      </c>
      <c r="C8" s="10">
        <f>9.8*$C$2/$C$3*(1-EXP(-$C$3/$C$2*A8))</f>
        <v>0</v>
      </c>
      <c r="F8" s="8"/>
    </row>
    <row r="9" spans="1:13" x14ac:dyDescent="0.25">
      <c r="A9" s="10">
        <v>2</v>
      </c>
      <c r="B9" s="10">
        <f>Euler($C$4,A8,A9,B8,$C$2,$C$3)</f>
        <v>16.530920028686523</v>
      </c>
      <c r="C9" s="10">
        <f>9.8*$C$2/$C$3*(1-EXP(-$C$3/$C$2*A9))</f>
        <v>16.404980802870615</v>
      </c>
    </row>
    <row r="10" spans="1:13" x14ac:dyDescent="0.25">
      <c r="A10" s="10">
        <v>4</v>
      </c>
      <c r="B10" s="10">
        <f t="shared" ref="B10:B21" si="0">Euler($C$4,A9,A10,B9,$C$2,$C$3)</f>
        <v>27.943492889404297</v>
      </c>
      <c r="C10" s="10">
        <f t="shared" ref="C10:C20" si="1">9.8*$C$2/$C$3*(1-EXP(-$C$3/$C$2*A10))</f>
        <v>27.769291463870154</v>
      </c>
    </row>
    <row r="11" spans="1:13" x14ac:dyDescent="0.25">
      <c r="A11" s="10">
        <v>6</v>
      </c>
      <c r="B11" s="10">
        <f t="shared" si="0"/>
        <v>35.822460174560547</v>
      </c>
      <c r="C11" s="10">
        <f t="shared" si="1"/>
        <v>35.641751563129091</v>
      </c>
    </row>
    <row r="12" spans="1:13" x14ac:dyDescent="0.25">
      <c r="A12" s="10">
        <v>8</v>
      </c>
      <c r="B12" s="10">
        <f t="shared" si="0"/>
        <v>41.261909484863281</v>
      </c>
      <c r="C12" s="10">
        <f t="shared" si="1"/>
        <v>41.095283225820637</v>
      </c>
    </row>
    <row r="13" spans="1:13" x14ac:dyDescent="0.25">
      <c r="A13" s="10">
        <v>10</v>
      </c>
      <c r="B13" s="10">
        <f>Euler($C$4,A12,A13,B12,$C$2,$C$3)</f>
        <v>45.017158508300781</v>
      </c>
      <c r="C13" s="10">
        <f t="shared" si="1"/>
        <v>44.873137571348394</v>
      </c>
    </row>
    <row r="14" spans="1:13" x14ac:dyDescent="0.25">
      <c r="A14" s="10">
        <v>12</v>
      </c>
      <c r="B14" s="10">
        <f t="shared" si="0"/>
        <v>47.609699249267578</v>
      </c>
      <c r="C14" s="10">
        <f t="shared" si="1"/>
        <v>47.490190948641704</v>
      </c>
    </row>
    <row r="15" spans="1:13" x14ac:dyDescent="0.25">
      <c r="A15" s="10">
        <v>14</v>
      </c>
      <c r="B15" s="10">
        <f t="shared" si="0"/>
        <v>49.399539947509766</v>
      </c>
      <c r="C15" s="10">
        <f t="shared" si="1"/>
        <v>49.303116422518208</v>
      </c>
    </row>
    <row r="16" spans="1:13" x14ac:dyDescent="0.25">
      <c r="A16" s="10">
        <v>16</v>
      </c>
      <c r="B16" s="10">
        <f t="shared" si="0"/>
        <v>50.635204315185547</v>
      </c>
      <c r="C16" s="10">
        <f t="shared" si="1"/>
        <v>50.558994045170913</v>
      </c>
    </row>
    <row r="17" spans="1:3" x14ac:dyDescent="0.25">
      <c r="A17" s="10">
        <v>18</v>
      </c>
      <c r="B17" s="10">
        <f t="shared" si="0"/>
        <v>51.488277435302734</v>
      </c>
      <c r="C17" s="10">
        <f t="shared" si="1"/>
        <v>51.428984911208715</v>
      </c>
    </row>
    <row r="18" spans="1:3" x14ac:dyDescent="0.25">
      <c r="A18" s="10">
        <v>20</v>
      </c>
      <c r="B18" s="10">
        <f t="shared" si="0"/>
        <v>52.077228546142578</v>
      </c>
      <c r="C18" s="10">
        <f t="shared" si="1"/>
        <v>52.031658367074975</v>
      </c>
    </row>
    <row r="19" spans="1:3" x14ac:dyDescent="0.25">
      <c r="A19" s="10">
        <v>22</v>
      </c>
      <c r="B19" s="10">
        <f t="shared" si="0"/>
        <v>52.483818054199219</v>
      </c>
      <c r="C19" s="10">
        <f t="shared" si="1"/>
        <v>52.449151594400412</v>
      </c>
    </row>
    <row r="20" spans="1:3" x14ac:dyDescent="0.25">
      <c r="A20" s="10">
        <v>24</v>
      </c>
      <c r="B20" s="10">
        <f t="shared" si="0"/>
        <v>52.764518737792969</v>
      </c>
      <c r="C20" s="10">
        <f t="shared" si="1"/>
        <v>52.738363925167626</v>
      </c>
    </row>
    <row r="21" spans="1:3" x14ac:dyDescent="0.25">
      <c r="A21" s="10">
        <v>26</v>
      </c>
      <c r="B21" s="10">
        <f t="shared" si="0"/>
        <v>52.958305358886719</v>
      </c>
      <c r="C21" s="10">
        <f>9.8*$C$2/$C$3*(1-EXP(-$C$3/$C$2*A21))</f>
        <v>52.938711539914927</v>
      </c>
    </row>
    <row r="22" spans="1:3" x14ac:dyDescent="0.25">
      <c r="A22" s="10">
        <v>27</v>
      </c>
      <c r="B22" s="10">
        <f t="shared" ref="B22:B25" si="2">Euler($C$4,A21,A22,B21,$C$2,$C$3)</f>
        <v>53.031379699707031</v>
      </c>
      <c r="C22" s="10">
        <f t="shared" ref="C22:C25" si="3">9.8*$C$2/$C$3*(1-EXP(-$C$3/$C$2*A22))</f>
        <v>53.014456413231997</v>
      </c>
    </row>
    <row r="23" spans="1:3" x14ac:dyDescent="0.25">
      <c r="A23" s="10">
        <v>28</v>
      </c>
      <c r="B23" s="10">
        <f t="shared" si="2"/>
        <v>53.092098236083984</v>
      </c>
      <c r="C23" s="10">
        <f t="shared" si="3"/>
        <v>53.077499421567317</v>
      </c>
    </row>
    <row r="24" spans="1:3" x14ac:dyDescent="0.25">
      <c r="A24" s="10">
        <v>29</v>
      </c>
      <c r="B24" s="10">
        <f t="shared" si="2"/>
        <v>53.142543792724609</v>
      </c>
      <c r="C24" s="10">
        <f t="shared" si="3"/>
        <v>53.129970575401444</v>
      </c>
    </row>
    <row r="25" spans="1:3" x14ac:dyDescent="0.25">
      <c r="A25" s="10">
        <v>30</v>
      </c>
      <c r="B25" s="10">
        <f t="shared" si="2"/>
        <v>53.184455871582031</v>
      </c>
      <c r="C25" s="10">
        <f t="shared" si="3"/>
        <v>53.17364269793152</v>
      </c>
    </row>
    <row r="26" spans="1:3" x14ac:dyDescent="0.25">
      <c r="A26" s="10">
        <v>31</v>
      </c>
      <c r="B26" s="10">
        <f t="shared" ref="B26:B27" si="4">Euler($C$4,A25,A26,B25,$C$2,$C$3)</f>
        <v>53.219280242919922</v>
      </c>
      <c r="C26" s="10">
        <f t="shared" ref="C26:C27" si="5">9.8*$C$2/$C$3*(1-EXP(-$C$3/$C$2*A26))</f>
        <v>53.209991322783779</v>
      </c>
    </row>
    <row r="27" spans="1:3" x14ac:dyDescent="0.25">
      <c r="A27" s="12">
        <v>32</v>
      </c>
      <c r="B27" s="12">
        <f t="shared" si="4"/>
        <v>53.248218536376953</v>
      </c>
      <c r="C27" s="12">
        <f t="shared" si="5"/>
        <v>53.240244547314845</v>
      </c>
    </row>
    <row r="29" spans="1:3" x14ac:dyDescent="0.25">
      <c r="B29" s="8"/>
    </row>
    <row r="30" spans="1:3" x14ac:dyDescent="0.25">
      <c r="B30" s="8"/>
    </row>
    <row r="32" spans="1:3" x14ac:dyDescent="0.25">
      <c r="B32" s="8"/>
    </row>
  </sheetData>
  <mergeCells count="2">
    <mergeCell ref="E6:G6"/>
    <mergeCell ref="K4:M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Sin macros</vt:lpstr>
      <vt:lpstr>Hoja3</vt:lpstr>
      <vt:lpstr>Con macros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WINDOWS</cp:lastModifiedBy>
  <dcterms:created xsi:type="dcterms:W3CDTF">2022-04-12T23:22:59Z</dcterms:created>
  <dcterms:modified xsi:type="dcterms:W3CDTF">2022-04-23T19:32:43Z</dcterms:modified>
</cp:coreProperties>
</file>